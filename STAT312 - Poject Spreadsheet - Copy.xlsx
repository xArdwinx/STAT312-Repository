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DC25A5F9-6ADF-407A-8081-7B3D24F0C6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G9" i="1"/>
  <c r="G12" i="1"/>
  <c r="C12" i="1"/>
  <c r="D12" i="1"/>
  <c r="B12" i="1"/>
  <c r="G3" i="1"/>
  <c r="G5" i="1"/>
  <c r="G11" i="1"/>
  <c r="G6" i="1"/>
  <c r="G8" i="1"/>
  <c r="H12" i="1"/>
  <c r="I12" i="1"/>
  <c r="I11" i="1"/>
  <c r="I8" i="1"/>
  <c r="I7" i="1"/>
  <c r="I6" i="1"/>
  <c r="I5" i="1"/>
  <c r="I4" i="1"/>
  <c r="H8" i="1"/>
  <c r="H7" i="1"/>
  <c r="H6" i="1"/>
  <c r="H5" i="1"/>
  <c r="H4" i="1"/>
  <c r="H3" i="1"/>
  <c r="H2" i="1"/>
  <c r="G10" i="1"/>
  <c r="G7" i="1"/>
  <c r="G4" i="1"/>
  <c r="G2" i="1"/>
</calcChain>
</file>

<file path=xl/sharedStrings.xml><?xml version="1.0" encoding="utf-8"?>
<sst xmlns="http://schemas.openxmlformats.org/spreadsheetml/2006/main" count="7" uniqueCount="7">
  <si>
    <t>Papanui Rd</t>
  </si>
  <si>
    <t>Rossall St</t>
  </si>
  <si>
    <t>Rutland St</t>
  </si>
  <si>
    <t>Papanui Rd Bike Helmet Percentage</t>
  </si>
  <si>
    <t>Rossall St Bike Helmet Percentage</t>
  </si>
  <si>
    <t>Rutland St Bike Helmet Percentage</t>
  </si>
  <si>
    <t xml:space="preserve">Rained most of the 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</si>
</sst>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6" fontId="0" fillId="0" borderId="0" xfId="0" applyNumberFormat="1"/>
    <xf numFmtId="2" fontId="0" fillId="0" borderId="0" xfId="0" applyNumberFormat="1"/>
    <xf numFmtId="0" fontId="0" fillId="2" borderId="2" xfId="0" applyFill="1" applyBorder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2" fontId="0" fillId="3" borderId="0" xfId="0" applyNumberFormat="1" applyFill="1"/>
    <xf numFmtId="2" fontId="0" fillId="3" borderId="7" xfId="0" applyNumberFormat="1" applyFill="1" applyBorder="1"/>
    <xf numFmtId="2" fontId="0" fillId="4" borderId="5" xfId="0" applyNumberFormat="1" applyFill="1" applyBorder="1"/>
    <xf numFmtId="2" fontId="0" fillId="4" borderId="8" xfId="0" applyNumberFormat="1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2" fontId="0" fillId="2" borderId="1" xfId="0" applyNumberFormat="1" applyFill="1" applyBorder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2" borderId="4" xfId="0" applyNumberFormat="1" applyFill="1" applyBorder="1"/>
    <xf numFmtId="2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Cyvclists observed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Papanui Rd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18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14</c:v>
                </c:pt>
                <c:pt idx="5">
                  <c:v>20</c:v>
                </c:pt>
                <c:pt idx="6">
                  <c:v>17</c:v>
                </c:pt>
                <c:pt idx="7">
                  <c:v>9</c:v>
                </c:pt>
                <c:pt idx="8">
                  <c:v>13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A-40B9-9604-6B4A5E4724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Rossall St</c:v>
                </c:pt>
              </c:strCache>
            </c:strRef>
          </c:tx>
          <c:spPr>
            <a:ln w="28575" cap="rnd">
              <a:solidFill>
                <a:srgbClr val="9BC2E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22</c:v>
                </c:pt>
                <c:pt idx="1">
                  <c:v>17</c:v>
                </c:pt>
                <c:pt idx="2">
                  <c:v>23</c:v>
                </c:pt>
                <c:pt idx="3">
                  <c:v>29</c:v>
                </c:pt>
                <c:pt idx="4">
                  <c:v>17</c:v>
                </c:pt>
                <c:pt idx="5">
                  <c:v>30</c:v>
                </c:pt>
                <c:pt idx="6">
                  <c:v>32</c:v>
                </c:pt>
                <c:pt idx="7">
                  <c:v>18</c:v>
                </c:pt>
                <c:pt idx="8">
                  <c:v>26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3A-40B9-9604-6B4A5E4724C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Rutland St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41</c:v>
                </c:pt>
                <c:pt idx="1">
                  <c:v>46</c:v>
                </c:pt>
                <c:pt idx="2">
                  <c:v>47</c:v>
                </c:pt>
                <c:pt idx="3">
                  <c:v>42</c:v>
                </c:pt>
                <c:pt idx="4">
                  <c:v>38</c:v>
                </c:pt>
                <c:pt idx="5">
                  <c:v>38</c:v>
                </c:pt>
                <c:pt idx="6">
                  <c:v>36</c:v>
                </c:pt>
                <c:pt idx="7">
                  <c:v>26</c:v>
                </c:pt>
                <c:pt idx="8">
                  <c:v>42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3A-40B9-9604-6B4A5E472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455176"/>
        <c:axId val="1390298120"/>
      </c:lineChart>
      <c:dateAx>
        <c:axId val="176045517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98120"/>
        <c:crosses val="autoZero"/>
        <c:auto val="1"/>
        <c:lblOffset val="100"/>
        <c:baseTimeUnit val="days"/>
      </c:dateAx>
      <c:valAx>
        <c:axId val="139029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45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cyclists not wearing helmets when observed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Papanui Rd Bike Helmet Percentage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Sheet1!$F$2:$F$11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Sheet1!$G$2:$G$11</c:f>
              <c:numCache>
                <c:formatCode>0.00</c:formatCode>
                <c:ptCount val="10"/>
                <c:pt idx="0">
                  <c:v>16.666666666666664</c:v>
                </c:pt>
                <c:pt idx="1">
                  <c:v>21.428571428571427</c:v>
                </c:pt>
                <c:pt idx="2">
                  <c:v>30.76923076923077</c:v>
                </c:pt>
                <c:pt idx="3">
                  <c:v>12.5</c:v>
                </c:pt>
                <c:pt idx="4">
                  <c:v>42.857142857142854</c:v>
                </c:pt>
                <c:pt idx="5">
                  <c:v>25</c:v>
                </c:pt>
                <c:pt idx="6">
                  <c:v>41.17647058823529</c:v>
                </c:pt>
                <c:pt idx="7">
                  <c:v>11.111111111111111</c:v>
                </c:pt>
                <c:pt idx="8">
                  <c:v>23.076923076923077</c:v>
                </c:pt>
                <c:pt idx="9">
                  <c:v>33.333333333333329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C0E-9B4E-9489A482B641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Rossall St Bike Helmet Percentage</c:v>
                </c:pt>
              </c:strCache>
            </c:strRef>
          </c:tx>
          <c:spPr>
            <a:ln w="28575" cap="rnd">
              <a:solidFill>
                <a:srgbClr val="9BC2E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Sheet1!$F$2:$F$11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Sheet1!$H$2:$H$11</c:f>
              <c:numCache>
                <c:formatCode>0.00</c:formatCode>
                <c:ptCount val="10"/>
                <c:pt idx="0">
                  <c:v>4.5454545454545459</c:v>
                </c:pt>
                <c:pt idx="1">
                  <c:v>5.8823529411764701</c:v>
                </c:pt>
                <c:pt idx="2">
                  <c:v>13.043478260869565</c:v>
                </c:pt>
                <c:pt idx="3">
                  <c:v>6.8965517241379306</c:v>
                </c:pt>
                <c:pt idx="4">
                  <c:v>5.8823529411764701</c:v>
                </c:pt>
                <c:pt idx="5">
                  <c:v>6.666666666666667</c:v>
                </c:pt>
                <c:pt idx="6">
                  <c:v>3.125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C0E-9B4E-9489A482B641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Rutland St Bike Helmet Percentage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Sheet1!$F$2:$F$11</c:f>
              <c:numCache>
                <c:formatCode>d\-mmm</c:formatCode>
                <c:ptCount val="10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</c:numCache>
            </c:numRef>
          </c:cat>
          <c:val>
            <c:numRef>
              <c:f>Sheet1!$I$2:$I$11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2.1276595744680851</c:v>
                </c:pt>
                <c:pt idx="3">
                  <c:v>7.1428571428571423</c:v>
                </c:pt>
                <c:pt idx="4">
                  <c:v>5.2631578947368416</c:v>
                </c:pt>
                <c:pt idx="5">
                  <c:v>2.6315789473684208</c:v>
                </c:pt>
                <c:pt idx="6">
                  <c:v>8.3333333333333321</c:v>
                </c:pt>
                <c:pt idx="7">
                  <c:v>0</c:v>
                </c:pt>
                <c:pt idx="8">
                  <c:v>0</c:v>
                </c:pt>
                <c:pt idx="9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C0E-9B4E-9489A482B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937223"/>
        <c:axId val="1956939271"/>
      </c:lineChart>
      <c:dateAx>
        <c:axId val="195693722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39271"/>
        <c:crosses val="autoZero"/>
        <c:auto val="1"/>
        <c:lblOffset val="100"/>
        <c:baseTimeUnit val="days"/>
      </c:dateAx>
      <c:valAx>
        <c:axId val="195693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3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15</xdr:row>
      <xdr:rowOff>38100</xdr:rowOff>
    </xdr:from>
    <xdr:to>
      <xdr:col>6</xdr:col>
      <xdr:colOff>133350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EB706-9682-2244-93F1-446245A68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15</xdr:row>
      <xdr:rowOff>47625</xdr:rowOff>
    </xdr:from>
    <xdr:to>
      <xdr:col>8</xdr:col>
      <xdr:colOff>1409700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40EE3F-1B50-C0ED-80F0-0F9EB8632E81}"/>
            </a:ext>
            <a:ext uri="{147F2762-F138-4A5C-976F-8EAC2B608ADB}">
              <a16:predDERef xmlns:a16="http://schemas.microsoft.com/office/drawing/2014/main" pred="{C3DEB706-9682-2244-93F1-446245A68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L16" sqref="L16"/>
    </sheetView>
  </sheetViews>
  <sheetFormatPr defaultRowHeight="15"/>
  <cols>
    <col min="2" max="2" width="22.140625" bestFit="1" customWidth="1"/>
    <col min="3" max="3" width="9.28515625" bestFit="1" customWidth="1"/>
    <col min="4" max="4" width="10.140625" bestFit="1" customWidth="1"/>
    <col min="7" max="7" width="33" bestFit="1" customWidth="1"/>
    <col min="8" max="8" width="31.42578125" bestFit="1" customWidth="1"/>
    <col min="9" max="9" width="32.140625" bestFit="1" customWidth="1"/>
  </cols>
  <sheetData>
    <row r="1" spans="1:11">
      <c r="B1" s="3" t="s">
        <v>0</v>
      </c>
      <c r="C1" s="4" t="s">
        <v>1</v>
      </c>
      <c r="D1" s="7" t="s">
        <v>2</v>
      </c>
      <c r="G1" s="3" t="s">
        <v>3</v>
      </c>
      <c r="H1" s="4" t="s">
        <v>4</v>
      </c>
      <c r="I1" s="7" t="s">
        <v>5</v>
      </c>
    </row>
    <row r="2" spans="1:11">
      <c r="A2" s="1">
        <v>46111</v>
      </c>
      <c r="B2" s="14">
        <v>18</v>
      </c>
      <c r="C2" s="4">
        <v>22</v>
      </c>
      <c r="D2" s="7">
        <v>41</v>
      </c>
      <c r="F2" s="1">
        <v>46111</v>
      </c>
      <c r="G2" s="17">
        <f>(3/18)*100</f>
        <v>16.666666666666664</v>
      </c>
      <c r="H2" s="18">
        <f>1/22*100</f>
        <v>4.5454545454545459</v>
      </c>
      <c r="I2" s="19">
        <v>0</v>
      </c>
      <c r="J2" s="2"/>
      <c r="K2" s="2"/>
    </row>
    <row r="3" spans="1:11">
      <c r="A3" s="1">
        <v>46112</v>
      </c>
      <c r="B3" s="15">
        <v>14</v>
      </c>
      <c r="C3" s="5">
        <v>17</v>
      </c>
      <c r="D3" s="8">
        <v>46</v>
      </c>
      <c r="F3" s="1">
        <v>46112</v>
      </c>
      <c r="G3" s="20">
        <f>3/14*100</f>
        <v>21.428571428571427</v>
      </c>
      <c r="H3" s="10">
        <f>1/17*100</f>
        <v>5.8823529411764701</v>
      </c>
      <c r="I3" s="12">
        <v>0</v>
      </c>
      <c r="J3" s="2"/>
      <c r="K3" s="2"/>
    </row>
    <row r="4" spans="1:11">
      <c r="A4" s="1">
        <v>46113</v>
      </c>
      <c r="B4" s="15">
        <v>13</v>
      </c>
      <c r="C4" s="5">
        <v>23</v>
      </c>
      <c r="D4" s="8">
        <v>47</v>
      </c>
      <c r="F4" s="1">
        <v>46113</v>
      </c>
      <c r="G4" s="20">
        <f>4/13*100</f>
        <v>30.76923076923077</v>
      </c>
      <c r="H4" s="10">
        <f>3/23*100</f>
        <v>13.043478260869565</v>
      </c>
      <c r="I4" s="12">
        <f>1/47*100</f>
        <v>2.1276595744680851</v>
      </c>
      <c r="J4" s="2"/>
      <c r="K4" s="2"/>
    </row>
    <row r="5" spans="1:11">
      <c r="A5" s="1">
        <v>46114</v>
      </c>
      <c r="B5" s="15">
        <v>16</v>
      </c>
      <c r="C5" s="5">
        <v>29</v>
      </c>
      <c r="D5" s="8">
        <v>42</v>
      </c>
      <c r="F5" s="1">
        <v>46114</v>
      </c>
      <c r="G5" s="20">
        <f>2/16*100</f>
        <v>12.5</v>
      </c>
      <c r="H5" s="10">
        <f>2/29*100</f>
        <v>6.8965517241379306</v>
      </c>
      <c r="I5" s="12">
        <f>3/42*100</f>
        <v>7.1428571428571423</v>
      </c>
      <c r="J5" s="2"/>
      <c r="K5" s="2"/>
    </row>
    <row r="6" spans="1:11">
      <c r="A6" s="1">
        <v>46115</v>
      </c>
      <c r="B6" s="15">
        <v>14</v>
      </c>
      <c r="C6" s="5">
        <v>17</v>
      </c>
      <c r="D6" s="8">
        <v>38</v>
      </c>
      <c r="F6" s="1">
        <v>46115</v>
      </c>
      <c r="G6" s="20">
        <f>6/14*100</f>
        <v>42.857142857142854</v>
      </c>
      <c r="H6" s="10">
        <f>1/17*100</f>
        <v>5.8823529411764701</v>
      </c>
      <c r="I6" s="12">
        <f>2/38*100</f>
        <v>5.2631578947368416</v>
      </c>
      <c r="J6" s="2"/>
      <c r="K6" s="2"/>
    </row>
    <row r="7" spans="1:11">
      <c r="A7" s="1">
        <v>46118</v>
      </c>
      <c r="B7" s="15">
        <v>20</v>
      </c>
      <c r="C7" s="5">
        <v>30</v>
      </c>
      <c r="D7" s="8">
        <v>38</v>
      </c>
      <c r="F7" s="1">
        <v>46118</v>
      </c>
      <c r="G7" s="20">
        <f>5/20*100</f>
        <v>25</v>
      </c>
      <c r="H7" s="10">
        <f>2/30*100</f>
        <v>6.666666666666667</v>
      </c>
      <c r="I7" s="12">
        <f>1/38*100</f>
        <v>2.6315789473684208</v>
      </c>
      <c r="J7" s="2"/>
      <c r="K7" s="2"/>
    </row>
    <row r="8" spans="1:11">
      <c r="A8" s="1">
        <v>46119</v>
      </c>
      <c r="B8" s="15">
        <v>17</v>
      </c>
      <c r="C8" s="5">
        <v>32</v>
      </c>
      <c r="D8" s="8">
        <v>36</v>
      </c>
      <c r="F8" s="1">
        <v>46119</v>
      </c>
      <c r="G8" s="20">
        <f>7/17*100</f>
        <v>41.17647058823529</v>
      </c>
      <c r="H8" s="10">
        <f>1/32*100</f>
        <v>3.125</v>
      </c>
      <c r="I8" s="12">
        <f>3/36*100</f>
        <v>8.3333333333333321</v>
      </c>
      <c r="J8" s="2"/>
      <c r="K8" s="2"/>
    </row>
    <row r="9" spans="1:11">
      <c r="A9" s="1">
        <v>46120</v>
      </c>
      <c r="B9" s="15">
        <v>9</v>
      </c>
      <c r="C9" s="5">
        <v>18</v>
      </c>
      <c r="D9" s="8">
        <v>26</v>
      </c>
      <c r="F9" s="1">
        <v>46120</v>
      </c>
      <c r="G9" s="20">
        <f>1/9*100</f>
        <v>11.111111111111111</v>
      </c>
      <c r="H9" s="10">
        <f>0/18*100</f>
        <v>0</v>
      </c>
      <c r="I9" s="12">
        <v>0</v>
      </c>
      <c r="J9" s="2"/>
      <c r="K9" s="2"/>
    </row>
    <row r="10" spans="1:11">
      <c r="A10" s="1">
        <v>46121</v>
      </c>
      <c r="B10" s="15">
        <v>13</v>
      </c>
      <c r="C10" s="5">
        <v>26</v>
      </c>
      <c r="D10" s="8">
        <v>42</v>
      </c>
      <c r="F10" s="1">
        <v>46121</v>
      </c>
      <c r="G10" s="20">
        <f>3/13*100</f>
        <v>23.076923076923077</v>
      </c>
      <c r="H10" s="10">
        <v>0</v>
      </c>
      <c r="I10" s="12">
        <v>0</v>
      </c>
      <c r="J10" s="2"/>
      <c r="K10" s="2"/>
    </row>
    <row r="11" spans="1:11">
      <c r="A11" s="1">
        <v>46122</v>
      </c>
      <c r="B11" s="16">
        <v>12</v>
      </c>
      <c r="C11" s="6">
        <v>23</v>
      </c>
      <c r="D11" s="9">
        <v>30</v>
      </c>
      <c r="F11" s="1">
        <v>46122</v>
      </c>
      <c r="G11" s="21">
        <f>4/12*100</f>
        <v>33.333333333333329</v>
      </c>
      <c r="H11" s="11">
        <v>0</v>
      </c>
      <c r="I11" s="13">
        <f>1/30*100</f>
        <v>3.3333333333333335</v>
      </c>
      <c r="J11" s="2"/>
      <c r="K11" s="2"/>
    </row>
    <row r="12" spans="1:11">
      <c r="B12">
        <f>ROUND(SUM(B2:B11)/10, 0)</f>
        <v>15</v>
      </c>
      <c r="C12">
        <f t="shared" ref="C12:D12" si="0">ROUND(SUM(C2:C11)/10, 0)</f>
        <v>24</v>
      </c>
      <c r="D12">
        <f t="shared" si="0"/>
        <v>39</v>
      </c>
      <c r="G12" s="2">
        <f>SUM(G2:G11)/10</f>
        <v>25.791944983121446</v>
      </c>
      <c r="H12" s="2">
        <f t="shared" ref="H12:I12" si="1">SUM(H2:H11)/10</f>
        <v>4.6041857079481643</v>
      </c>
      <c r="I12" s="2">
        <f t="shared" si="1"/>
        <v>2.8831920226097152</v>
      </c>
    </row>
    <row r="14" spans="1:11">
      <c r="A14" s="1">
        <v>46120</v>
      </c>
      <c r="B14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2026-04-30T02:21:26Z</dcterms:created>
  <dcterms:modified xsi:type="dcterms:W3CDTF">2026-05-19T03:13:46Z</dcterms:modified>
  <cp:category/>
  <cp:contentStatus/>
</cp:coreProperties>
</file>